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24915" windowHeight="11580"/>
  </bookViews>
  <sheets>
    <sheet name="NHRDataSysClgCap" sheetId="1" r:id="rId1"/>
    <sheet name="Lookups" sheetId="3" r:id="rId2"/>
  </sheets>
  <definedNames>
    <definedName name="t.KeytoDOE2Command">Lookups!$G:$H</definedName>
    <definedName name="t.Variables">Lookups!$B:$E</definedName>
  </definedNames>
  <calcPr calcId="145621"/>
</workbook>
</file>

<file path=xl/calcChain.xml><?xml version="1.0" encoding="utf-8"?>
<calcChain xmlns="http://schemas.openxmlformats.org/spreadsheetml/2006/main">
  <c r="C8" i="1" l="1"/>
  <c r="C7" i="1"/>
  <c r="C6" i="1"/>
  <c r="C1" i="3"/>
</calcChain>
</file>

<file path=xl/comments1.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sharedStrings.xml><?xml version="1.0" encoding="utf-8"?>
<sst xmlns="http://schemas.openxmlformats.org/spreadsheetml/2006/main" count="55" uniqueCount="54">
  <si>
    <t>EI</t>
  </si>
  <si>
    <t>KT</t>
  </si>
  <si>
    <t>DOE-2 command</t>
  </si>
  <si>
    <t>C:\DOE-2</t>
  </si>
  <si>
    <t>SYSTEM</t>
  </si>
  <si>
    <t>PROJECTS</t>
  </si>
  <si>
    <t>DOE-2 child command</t>
  </si>
  <si>
    <t>-</t>
  </si>
  <si>
    <t>SETTINGS</t>
  </si>
  <si>
    <t>DATA TO RETRIEVE</t>
  </si>
  <si>
    <t>DOE-2 folder</t>
  </si>
  <si>
    <t>DOE-2 NHR key</t>
  </si>
  <si>
    <t>RI</t>
  </si>
  <si>
    <t>VARIABLE NAME</t>
  </si>
  <si>
    <t>NHRLIST INFO</t>
  </si>
  <si>
    <t>VARIABLE</t>
  </si>
  <si>
    <t>SV-A - System Total Cooling Capacity (kBtu/h)</t>
  </si>
  <si>
    <t>SV-A - System Sensible Heat Ratio</t>
  </si>
  <si>
    <t>SV-A - System Total Heating Capacity (kBtu/h)</t>
  </si>
  <si>
    <t>SV-A - Zone Design Supply Airflow (cfm)</t>
  </si>
  <si>
    <t>RATCHET</t>
  </si>
  <si>
    <t>ZONE</t>
  </si>
  <si>
    <t>WINDOW</t>
  </si>
  <si>
    <t>DOOR</t>
  </si>
  <si>
    <t>PUMP</t>
  </si>
  <si>
    <t>CHILLER</t>
  </si>
  <si>
    <t>BOILER</t>
  </si>
  <si>
    <t>SPACE</t>
  </si>
  <si>
    <t>RI/KT</t>
  </si>
  <si>
    <t>DOE-2 Command</t>
  </si>
  <si>
    <t>COMPONENT-COST</t>
  </si>
  <si>
    <t>UTILITY-RATE</t>
  </si>
  <si>
    <t>BLOCK-CHARGE</t>
  </si>
  <si>
    <t>EXTERIOR-WALL</t>
  </si>
  <si>
    <t>UNDERGROUND-WALL</t>
  </si>
  <si>
    <t>INTERIOR-WALL</t>
  </si>
  <si>
    <t>CIRCULATION-LOOP</t>
  </si>
  <si>
    <t>DW-HEATER</t>
  </si>
  <si>
    <t>ELEC-GENERATOR</t>
  </si>
  <si>
    <t>THERMAL-STORAGE</t>
  </si>
  <si>
    <t>ELEC-METER</t>
  </si>
  <si>
    <t>FUEL-METER</t>
  </si>
  <si>
    <t>STEAM-METER</t>
  </si>
  <si>
    <t>CHW-METER</t>
  </si>
  <si>
    <t>MATERIALS-COST</t>
  </si>
  <si>
    <t>COOLING-TWR</t>
  </si>
  <si>
    <t>PS-H - Cooling Tower Capacity (Btu/h)</t>
  </si>
  <si>
    <t>PS-H - SHW/DHW Capacity (Btu/h)</t>
  </si>
  <si>
    <t>PS-H - Electric Chiller Capacity (Btu/h)</t>
  </si>
  <si>
    <t>PS-H - Boiler Capacity (Btu/h)</t>
  </si>
  <si>
    <t>Instructions:</t>
  </si>
  <si>
    <t>1. Click on "Find Projects" to retrieve all the DOE-2/eQUEST projects included in particular folder. Or, just provide the path to the project you wish to retrieve the data from. NB: do not include any extension.</t>
  </si>
  <si>
    <t>2. Select the data to retrieve in cell C3. If the data you wish to retrieve is not present in the dropdown box, update the range t.Variables using NHRLIST.TXT (present in the DOE-2 folder).</t>
  </si>
  <si>
    <t>3. Click on "Retrieve Data", a csv file will be created in the same folder as this workbook, its name will be the same as this worksheet. NB: the NHR-RetrieveSingleResult.py script should be in the same folder as the workbook.</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</si>
</sst>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9"/>
      <color indexed="81"/>
      <name val="Tahoma"/>
      <family val="2"/>
    </font>
    <font>
      <sz val="11"/>
      <color rgb="FF000000"/>
      <name val="Calibri"/>
      <family val="2"/>
    </font>
    <font>
      <b/>
      <sz val="11"/>
      <color theme="1"/>
      <name val="Calibri"/>
      <family val="2"/>
      <scheme val="minor"/>
    </font>
    <font>
      <sz val="11"/>
      <color theme="0" tint="-0.14999847407452621"/>
      <name val="Calibri"/>
      <family val="2"/>
      <scheme val="minor"/>
    </font>
    <font>
      <i/>
      <sz val="11"/>
      <color rgb="FF7F7F7F"/>
      <name val="Calibri"/>
      <family val="2"/>
      <scheme val="minor"/>
    </font>
  </fonts>
  <fills count="3">
    <fill>
      <patternFill patternType="none"/>
    </fill>
    <fill>
      <patternFill patternType="gray125"/>
    </fill>
    <fill>
      <patternFill patternType="solid">
        <fgColor theme="4"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5" fillId="0" borderId="0" applyNumberFormat="0" applyFill="0" applyBorder="0" applyAlignment="0" applyProtection="0"/>
  </cellStyleXfs>
  <cellXfs count="23">
    <xf numFmtId="0" fontId="0" fillId="0" borderId="0" xfId="0"/>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 xfId="0" applyBorder="1"/>
    <xf numFmtId="0" fontId="4" fillId="0" borderId="0" xfId="0" applyFont="1"/>
    <xf numFmtId="0" fontId="0" fillId="0" borderId="1" xfId="0" applyFill="1" applyBorder="1"/>
    <xf numFmtId="0" fontId="0" fillId="0" borderId="8" xfId="0" applyBorder="1"/>
    <xf numFmtId="0" fontId="0" fillId="0" borderId="9" xfId="0" applyBorder="1" applyAlignment="1">
      <alignment horizontal="left"/>
    </xf>
    <xf numFmtId="0" fontId="3" fillId="2" borderId="8" xfId="0" applyFont="1" applyFill="1" applyBorder="1"/>
    <xf numFmtId="0" fontId="0" fillId="2" borderId="9" xfId="0" applyFill="1" applyBorder="1"/>
    <xf numFmtId="0" fontId="0" fillId="0" borderId="4" xfId="0" applyBorder="1" applyAlignment="1">
      <alignment horizontal="left"/>
    </xf>
    <xf numFmtId="0" fontId="0" fillId="0" borderId="10" xfId="0" applyBorder="1"/>
    <xf numFmtId="0" fontId="0" fillId="0" borderId="11" xfId="0" applyBorder="1" applyAlignment="1">
      <alignment horizontal="left"/>
    </xf>
    <xf numFmtId="0" fontId="0" fillId="0" borderId="7" xfId="0" applyBorder="1" applyAlignment="1">
      <alignment horizontal="left"/>
    </xf>
    <xf numFmtId="0" fontId="0" fillId="2" borderId="9" xfId="0" applyFill="1" applyBorder="1" applyAlignment="1">
      <alignment horizontal="left"/>
    </xf>
    <xf numFmtId="0" fontId="0" fillId="0" borderId="10" xfId="0" applyFill="1" applyBorder="1"/>
    <xf numFmtId="0" fontId="5" fillId="0" borderId="0" xfId="1"/>
    <xf numFmtId="0" fontId="5" fillId="0" borderId="0" xfId="1" applyAlignment="1">
      <alignment horizontal="fill"/>
    </xf>
  </cellXfs>
  <cellStyles count="2">
    <cellStyle name="Explanatory Text" xfId="1" builtinId="5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1</xdr:rowOff>
        </xdr:from>
        <xdr:to>
          <xdr:col>5</xdr:col>
          <xdr:colOff>0</xdr:colOff>
          <xdr:row>7</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E13"/>
  <sheetViews>
    <sheetView tabSelected="1" workbookViewId="0">
      <selection activeCell="B2" sqref="B2"/>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16</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2201006</v>
      </c>
    </row>
    <row r="7" spans="2:5" x14ac:dyDescent="0.25">
      <c r="B7" s="20" t="s">
        <v>2</v>
      </c>
      <c r="C7" s="17" t="str">
        <f>VLOOKUP(VLOOKUP($C$3,t.Variables,3,FALSE),t.KeytoDOE2Command,2,FALSE)</f>
        <v>SYSTEM</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1030" r:id="rId4" name="Button 6">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1031" r:id="rId5" name="Button 7">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8"/>
  <sheetViews>
    <sheetView workbookViewId="0">
      <selection activeCell="C17" sqref="C17"/>
    </sheetView>
  </sheetViews>
  <sheetFormatPr defaultRowHeight="15" x14ac:dyDescent="0.25"/>
  <cols>
    <col min="1" max="1" width="3.7109375" customWidth="1"/>
    <col min="2" max="2" width="47.42578125" bestFit="1" customWidth="1"/>
    <col min="6" max="6" width="3.7109375" customWidth="1"/>
    <col min="7" max="8" width="20.7109375" customWidth="1"/>
  </cols>
  <sheetData>
    <row r="1" spans="2:8" x14ac:dyDescent="0.25">
      <c r="C1" s="9">
        <f>COUNTA(B:B)</f>
        <v>9</v>
      </c>
    </row>
    <row r="2" spans="2:8" x14ac:dyDescent="0.25">
      <c r="C2" s="2" t="s">
        <v>14</v>
      </c>
      <c r="D2" s="3"/>
      <c r="E2" s="4"/>
      <c r="G2" s="8" t="s">
        <v>28</v>
      </c>
      <c r="H2" s="8" t="s">
        <v>29</v>
      </c>
    </row>
    <row r="3" spans="2:8" x14ac:dyDescent="0.25">
      <c r="B3" s="8" t="s">
        <v>13</v>
      </c>
      <c r="C3" s="5" t="s">
        <v>0</v>
      </c>
      <c r="D3" s="6" t="s">
        <v>12</v>
      </c>
      <c r="E3" s="7" t="s">
        <v>1</v>
      </c>
      <c r="G3" s="8">
        <v>2001</v>
      </c>
      <c r="H3" s="8" t="s">
        <v>30</v>
      </c>
    </row>
    <row r="4" spans="2:8" x14ac:dyDescent="0.25">
      <c r="B4" s="8" t="s">
        <v>16</v>
      </c>
      <c r="C4" s="8">
        <v>2201006</v>
      </c>
      <c r="D4" s="8">
        <v>2010</v>
      </c>
      <c r="E4" s="8">
        <v>0</v>
      </c>
      <c r="G4" s="8">
        <v>2005</v>
      </c>
      <c r="H4" s="8" t="s">
        <v>31</v>
      </c>
    </row>
    <row r="5" spans="2:8" x14ac:dyDescent="0.25">
      <c r="B5" s="8" t="s">
        <v>17</v>
      </c>
      <c r="C5" s="8">
        <v>2201007</v>
      </c>
      <c r="D5" s="8">
        <v>2010</v>
      </c>
      <c r="E5" s="8">
        <v>0</v>
      </c>
      <c r="G5" s="8">
        <v>2006</v>
      </c>
      <c r="H5" s="8" t="s">
        <v>32</v>
      </c>
    </row>
    <row r="6" spans="2:8" x14ac:dyDescent="0.25">
      <c r="B6" s="8" t="s">
        <v>18</v>
      </c>
      <c r="C6" s="8">
        <v>2201008</v>
      </c>
      <c r="D6" s="8">
        <v>2010</v>
      </c>
      <c r="E6" s="8">
        <v>0</v>
      </c>
      <c r="G6" s="8">
        <v>2007</v>
      </c>
      <c r="H6" s="8" t="s">
        <v>20</v>
      </c>
    </row>
    <row r="7" spans="2:8" x14ac:dyDescent="0.25">
      <c r="B7" s="8" t="s">
        <v>19</v>
      </c>
      <c r="C7" s="8">
        <v>2201045</v>
      </c>
      <c r="D7" s="8">
        <v>2010</v>
      </c>
      <c r="E7" s="8">
        <v>2019</v>
      </c>
      <c r="G7" s="8">
        <v>2010</v>
      </c>
      <c r="H7" s="8" t="s">
        <v>4</v>
      </c>
    </row>
    <row r="8" spans="2:8" x14ac:dyDescent="0.25">
      <c r="B8" s="10" t="s">
        <v>49</v>
      </c>
      <c r="C8" s="8">
        <v>2315003</v>
      </c>
      <c r="D8" s="8">
        <v>2064</v>
      </c>
      <c r="E8" s="10">
        <v>0</v>
      </c>
      <c r="G8" s="8">
        <v>2019</v>
      </c>
      <c r="H8" s="8" t="s">
        <v>21</v>
      </c>
    </row>
    <row r="9" spans="2:8" x14ac:dyDescent="0.25">
      <c r="B9" s="10" t="s">
        <v>48</v>
      </c>
      <c r="C9" s="8">
        <v>2318003</v>
      </c>
      <c r="D9" s="8">
        <v>2063</v>
      </c>
      <c r="E9" s="10">
        <v>0</v>
      </c>
      <c r="G9" s="8">
        <v>2020</v>
      </c>
      <c r="H9" s="8" t="s">
        <v>33</v>
      </c>
    </row>
    <row r="10" spans="2:8" x14ac:dyDescent="0.25">
      <c r="B10" s="10" t="s">
        <v>47</v>
      </c>
      <c r="C10" s="8">
        <v>2321003</v>
      </c>
      <c r="D10" s="8">
        <v>2065</v>
      </c>
      <c r="E10" s="10">
        <v>0</v>
      </c>
      <c r="G10" s="8">
        <v>2040</v>
      </c>
      <c r="H10" s="8" t="s">
        <v>34</v>
      </c>
    </row>
    <row r="11" spans="2:8" x14ac:dyDescent="0.25">
      <c r="B11" s="10" t="s">
        <v>46</v>
      </c>
      <c r="C11" s="8">
        <v>2314003</v>
      </c>
      <c r="D11" s="8">
        <v>2066</v>
      </c>
      <c r="E11" s="10">
        <v>0</v>
      </c>
      <c r="G11" s="8">
        <v>2046</v>
      </c>
      <c r="H11" s="8" t="s">
        <v>35</v>
      </c>
    </row>
    <row r="12" spans="2:8" x14ac:dyDescent="0.25">
      <c r="G12" s="8">
        <v>2050</v>
      </c>
      <c r="H12" s="8" t="s">
        <v>22</v>
      </c>
    </row>
    <row r="13" spans="2:8" x14ac:dyDescent="0.25">
      <c r="G13" s="8">
        <v>2055</v>
      </c>
      <c r="H13" s="8" t="s">
        <v>23</v>
      </c>
    </row>
    <row r="14" spans="2:8" x14ac:dyDescent="0.25">
      <c r="G14" s="8">
        <v>2061</v>
      </c>
      <c r="H14" s="8" t="s">
        <v>24</v>
      </c>
    </row>
    <row r="15" spans="2:8" x14ac:dyDescent="0.25">
      <c r="G15" s="8">
        <v>2062</v>
      </c>
      <c r="H15" s="8" t="s">
        <v>36</v>
      </c>
    </row>
    <row r="16" spans="2:8" x14ac:dyDescent="0.25">
      <c r="G16" s="8">
        <v>2063</v>
      </c>
      <c r="H16" s="8" t="s">
        <v>25</v>
      </c>
    </row>
    <row r="17" spans="7:8" x14ac:dyDescent="0.25">
      <c r="G17" s="8">
        <v>2064</v>
      </c>
      <c r="H17" s="8" t="s">
        <v>26</v>
      </c>
    </row>
    <row r="18" spans="7:8" x14ac:dyDescent="0.25">
      <c r="G18" s="8">
        <v>2065</v>
      </c>
      <c r="H18" s="8" t="s">
        <v>37</v>
      </c>
    </row>
    <row r="19" spans="7:8" x14ac:dyDescent="0.25">
      <c r="G19" s="8">
        <v>2066</v>
      </c>
      <c r="H19" s="8" t="s">
        <v>45</v>
      </c>
    </row>
    <row r="20" spans="7:8" x14ac:dyDescent="0.25">
      <c r="G20" s="8">
        <v>2068</v>
      </c>
      <c r="H20" s="8" t="s">
        <v>38</v>
      </c>
    </row>
    <row r="21" spans="7:8" x14ac:dyDescent="0.25">
      <c r="G21" s="8">
        <v>2069</v>
      </c>
      <c r="H21" s="8" t="s">
        <v>39</v>
      </c>
    </row>
    <row r="22" spans="7:8" x14ac:dyDescent="0.25">
      <c r="G22" s="8">
        <v>2070</v>
      </c>
      <c r="H22" s="8" t="s">
        <v>27</v>
      </c>
    </row>
    <row r="23" spans="7:8" x14ac:dyDescent="0.25">
      <c r="G23" s="8">
        <v>2085</v>
      </c>
      <c r="H23" s="8" t="s">
        <v>40</v>
      </c>
    </row>
    <row r="24" spans="7:8" x14ac:dyDescent="0.25">
      <c r="G24" s="8">
        <v>2086</v>
      </c>
      <c r="H24" s="8" t="s">
        <v>41</v>
      </c>
    </row>
    <row r="25" spans="7:8" x14ac:dyDescent="0.25">
      <c r="G25" s="8">
        <v>2087</v>
      </c>
      <c r="H25" s="8" t="s">
        <v>42</v>
      </c>
    </row>
    <row r="26" spans="7:8" x14ac:dyDescent="0.25">
      <c r="G26" s="8">
        <v>2088</v>
      </c>
      <c r="H26" s="8" t="s">
        <v>43</v>
      </c>
    </row>
    <row r="27" spans="7:8" x14ac:dyDescent="0.25">
      <c r="G27" s="8">
        <v>2091</v>
      </c>
      <c r="H27" s="8" t="s">
        <v>44</v>
      </c>
    </row>
    <row r="28" spans="7:8" x14ac:dyDescent="0.25">
      <c r="G28" s="10">
        <v>0</v>
      </c>
      <c r="H28" s="10"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NHRDataSysClgCap</vt:lpstr>
      <vt:lpstr>Lookups</vt:lpstr>
      <vt:lpstr>t.KeytoDOE2Command</vt:lpstr>
      <vt:lpstr>t.Variables</vt:lpstr>
    </vt:vector>
  </TitlesOfParts>
  <Company>Madison Engineering 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L.</dc:creator>
  <cp:lastModifiedBy>Jeremy L.</cp:lastModifiedBy>
  <dcterms:created xsi:type="dcterms:W3CDTF">2016-04-25T18:22:56Z</dcterms:created>
  <dcterms:modified xsi:type="dcterms:W3CDTF">2016-04-26T21:27:18Z</dcterms:modified>
</cp:coreProperties>
</file>