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7.xml" ContentType="application/vnd.openxmlformats-officedocument.spreadsheetml.comments+xml"/>
  <Override PartName="/xl/drawings/drawing8.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0" yWindow="75" windowWidth="24915" windowHeight="11580"/>
  </bookViews>
  <sheets>
    <sheet name="NHRDataSysClgCap" sheetId="1" r:id="rId1"/>
    <sheet name="NHRDataSysSHRCap" sheetId="4" r:id="rId2"/>
    <sheet name="NHRDataSysHtgCap" sheetId="5" r:id="rId3"/>
    <sheet name="NHRDataZoneFlow" sheetId="6" r:id="rId4"/>
    <sheet name="NHRDataZoneHtgCap" sheetId="10" r:id="rId5"/>
    <sheet name="NHRDataBoilerCap" sheetId="7" r:id="rId6"/>
    <sheet name="NHRDataChillerCap" sheetId="8" r:id="rId7"/>
    <sheet name="NHRDataCoolingTowerCap" sheetId="9" r:id="rId8"/>
    <sheet name="Lookups" sheetId="3" r:id="rId9"/>
  </sheets>
  <definedNames>
    <definedName name="t.KeytoDOE2Command">Lookups!$G:$H</definedName>
    <definedName name="t.Variables">Lookups!$B:$E</definedName>
  </definedNames>
  <calcPr calcId="145621"/>
</workbook>
</file>

<file path=xl/calcChain.xml><?xml version="1.0" encoding="utf-8"?>
<calcChain xmlns="http://schemas.openxmlformats.org/spreadsheetml/2006/main">
  <c r="C8" i="10" l="1"/>
  <c r="C7" i="10"/>
  <c r="C6" i="10"/>
  <c r="C8" i="9" l="1"/>
  <c r="C7" i="9"/>
  <c r="C6" i="9"/>
  <c r="C8" i="8"/>
  <c r="C7" i="8"/>
  <c r="C6" i="8"/>
  <c r="C8" i="7"/>
  <c r="C7" i="7"/>
  <c r="C6" i="7"/>
  <c r="C8" i="6" l="1"/>
  <c r="C7" i="6"/>
  <c r="C6" i="6"/>
  <c r="C8" i="5"/>
  <c r="C7" i="5"/>
  <c r="C6" i="5"/>
  <c r="C8" i="4"/>
  <c r="C7" i="4"/>
  <c r="C6" i="4"/>
  <c r="C8" i="1" l="1"/>
  <c r="C7" i="1"/>
  <c r="C6" i="1"/>
  <c r="C1" i="3"/>
</calcChain>
</file>

<file path=xl/comments1.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2.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3.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4.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5.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6.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7.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comments8.xml><?xml version="1.0" encoding="utf-8"?>
<comments xmlns="http://schemas.openxmlformats.org/spreadsheetml/2006/main">
  <authors>
    <author>Jeremy L.</author>
  </authors>
  <commentList>
    <comment ref="B5" authorId="0">
      <text>
        <r>
          <rPr>
            <sz val="9"/>
            <color indexed="81"/>
            <rFont val="Tahoma"/>
            <family val="2"/>
          </rPr>
          <t>Example: C:\DOE-2</t>
        </r>
      </text>
    </comment>
    <comment ref="B6" authorId="0">
      <text>
        <r>
          <rPr>
            <sz val="9"/>
            <color indexed="81"/>
            <rFont val="Tahoma"/>
            <family val="2"/>
          </rPr>
          <t>If not automatically populated via lookups, refer to NHRLIST.TXT in the DOE-2 folder.</t>
        </r>
      </text>
    </comment>
    <comment ref="B7" authorId="0">
      <text>
        <r>
          <rPr>
            <sz val="9"/>
            <color indexed="81"/>
            <rFont val="Tahoma"/>
            <family val="2"/>
          </rPr>
          <t>Example: SYSTEM, ZONE, BOILER, CHILLER etc ...</t>
        </r>
      </text>
    </comment>
    <comment ref="B8" authorId="0">
      <text>
        <r>
          <rPr>
            <sz val="9"/>
            <color indexed="81"/>
            <rFont val="Tahoma"/>
            <family val="2"/>
          </rPr>
          <t>Example: same as above</t>
        </r>
      </text>
    </comment>
  </commentList>
</comments>
</file>

<file path=xl/sharedStrings.xml><?xml version="1.0" encoding="utf-8"?>
<sst xmlns="http://schemas.openxmlformats.org/spreadsheetml/2006/main" count="154" uniqueCount="55">
  <si>
    <t>EI</t>
  </si>
  <si>
    <t>KT</t>
  </si>
  <si>
    <t>DOE-2 command</t>
  </si>
  <si>
    <t>C:\DOE-2</t>
  </si>
  <si>
    <t>SYSTEM</t>
  </si>
  <si>
    <t>PROJECTS</t>
  </si>
  <si>
    <t>DOE-2 child command</t>
  </si>
  <si>
    <t>-</t>
  </si>
  <si>
    <t>SETTINGS</t>
  </si>
  <si>
    <t>DATA TO RETRIEVE</t>
  </si>
  <si>
    <t>DOE-2 folder</t>
  </si>
  <si>
    <t>DOE-2 NHR key</t>
  </si>
  <si>
    <t>RI</t>
  </si>
  <si>
    <t>VARIABLE NAME</t>
  </si>
  <si>
    <t>NHRLIST INFO</t>
  </si>
  <si>
    <t>VARIABLE</t>
  </si>
  <si>
    <t>SV-A - System Total Cooling Capacity (kBtu/h)</t>
  </si>
  <si>
    <t>SV-A - System Sensible Heat Ratio</t>
  </si>
  <si>
    <t>SV-A - System Total Heating Capacity (kBtu/h)</t>
  </si>
  <si>
    <t>SV-A - Zone Design Supply Airflow (cfm)</t>
  </si>
  <si>
    <t>RATCHET</t>
  </si>
  <si>
    <t>ZONE</t>
  </si>
  <si>
    <t>WINDOW</t>
  </si>
  <si>
    <t>DOOR</t>
  </si>
  <si>
    <t>PUMP</t>
  </si>
  <si>
    <t>CHILLER</t>
  </si>
  <si>
    <t>BOILER</t>
  </si>
  <si>
    <t>SPACE</t>
  </si>
  <si>
    <t>RI/KT</t>
  </si>
  <si>
    <t>DOE-2 Command</t>
  </si>
  <si>
    <t>COMPONENT-COST</t>
  </si>
  <si>
    <t>UTILITY-RATE</t>
  </si>
  <si>
    <t>BLOCK-CHARGE</t>
  </si>
  <si>
    <t>EXTERIOR-WALL</t>
  </si>
  <si>
    <t>UNDERGROUND-WALL</t>
  </si>
  <si>
    <t>INTERIOR-WALL</t>
  </si>
  <si>
    <t>CIRCULATION-LOOP</t>
  </si>
  <si>
    <t>DW-HEATER</t>
  </si>
  <si>
    <t>ELEC-GENERATOR</t>
  </si>
  <si>
    <t>THERMAL-STORAGE</t>
  </si>
  <si>
    <t>ELEC-METER</t>
  </si>
  <si>
    <t>FUEL-METER</t>
  </si>
  <si>
    <t>STEAM-METER</t>
  </si>
  <si>
    <t>CHW-METER</t>
  </si>
  <si>
    <t>MATERIALS-COST</t>
  </si>
  <si>
    <t>COOLING-TWR</t>
  </si>
  <si>
    <t>PS-H - Cooling Tower Capacity (Btu/h)</t>
  </si>
  <si>
    <t>PS-H - SHW/DHW Capacity (Btu/h)</t>
  </si>
  <si>
    <t>PS-H - Electric Chiller Capacity (Btu/h)</t>
  </si>
  <si>
    <t>PS-H - Boiler Capacity (Btu/h)</t>
  </si>
  <si>
    <t>Instructions:</t>
  </si>
  <si>
    <t>1. Click on "Find Projects" to retrieve all the DOE-2/eQUEST projects included in particular folder. Or, just provide the path to the project you wish to retrieve the data from. NB: do not include any extension.</t>
  </si>
  <si>
    <t>2. Select the data to retrieve in cell C3. If the data you wish to retrieve is not present in the dropdown box, update the range t.Variables using NHRLIST.TXT (present in the DOE-2 folder).</t>
  </si>
  <si>
    <t>3. Click on "Retrieve Data", a csv file will be created in the same folder as this workbook, its name will be the same as this worksheet. NB: the NHR-RetrieveSingleResult.py script should be in the same folder as the workbook.</t>
  </si>
  <si>
    <t>SV-A - Zone Heating Capacity (kBtu/h)</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</si>
</sst>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9"/>
      <color indexed="81"/>
      <name val="Tahoma"/>
      <family val="2"/>
    </font>
    <font>
      <sz val="11"/>
      <color rgb="FF000000"/>
      <name val="Calibri"/>
      <family val="2"/>
    </font>
    <font>
      <b/>
      <sz val="11"/>
      <color theme="1"/>
      <name val="Calibri"/>
      <family val="2"/>
      <scheme val="minor"/>
    </font>
    <font>
      <sz val="11"/>
      <color theme="0" tint="-0.14999847407452621"/>
      <name val="Calibri"/>
      <family val="2"/>
      <scheme val="minor"/>
    </font>
    <font>
      <i/>
      <sz val="11"/>
      <color rgb="FF7F7F7F"/>
      <name val="Calibri"/>
      <family val="2"/>
      <scheme val="minor"/>
    </font>
  </fonts>
  <fills count="3">
    <fill>
      <patternFill patternType="none"/>
    </fill>
    <fill>
      <patternFill patternType="gray125"/>
    </fill>
    <fill>
      <patternFill patternType="solid">
        <fgColor theme="4" tint="0.79998168889431442"/>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s>
  <cellStyleXfs count="2">
    <xf numFmtId="0" fontId="0" fillId="0" borderId="0"/>
    <xf numFmtId="0" fontId="5" fillId="0" borderId="0" applyNumberFormat="0" applyFill="0" applyBorder="0" applyAlignment="0" applyProtection="0"/>
  </cellStyleXfs>
  <cellXfs count="23">
    <xf numFmtId="0" fontId="0" fillId="0" borderId="0" xfId="0"/>
    <xf numFmtId="0" fontId="0" fillId="0" borderId="0" xfId="0"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1" xfId="0" applyBorder="1"/>
    <xf numFmtId="0" fontId="4" fillId="0" borderId="0" xfId="0" applyFont="1"/>
    <xf numFmtId="0" fontId="0" fillId="0" borderId="1" xfId="0" applyFill="1" applyBorder="1"/>
    <xf numFmtId="0" fontId="0" fillId="0" borderId="8" xfId="0" applyBorder="1"/>
    <xf numFmtId="0" fontId="0" fillId="0" borderId="9" xfId="0" applyBorder="1" applyAlignment="1">
      <alignment horizontal="left"/>
    </xf>
    <xf numFmtId="0" fontId="3" fillId="2" borderId="8" xfId="0" applyFont="1" applyFill="1" applyBorder="1"/>
    <xf numFmtId="0" fontId="0" fillId="2" borderId="9" xfId="0" applyFill="1" applyBorder="1"/>
    <xf numFmtId="0" fontId="0" fillId="0" borderId="4" xfId="0" applyBorder="1" applyAlignment="1">
      <alignment horizontal="left"/>
    </xf>
    <xf numFmtId="0" fontId="0" fillId="0" borderId="10" xfId="0" applyBorder="1"/>
    <xf numFmtId="0" fontId="0" fillId="0" borderId="11" xfId="0" applyBorder="1" applyAlignment="1">
      <alignment horizontal="left"/>
    </xf>
    <xf numFmtId="0" fontId="0" fillId="0" borderId="7" xfId="0" applyBorder="1" applyAlignment="1">
      <alignment horizontal="left"/>
    </xf>
    <xf numFmtId="0" fontId="0" fillId="2" borderId="9" xfId="0" applyFill="1" applyBorder="1" applyAlignment="1">
      <alignment horizontal="left"/>
    </xf>
    <xf numFmtId="0" fontId="0" fillId="0" borderId="10" xfId="0" applyFill="1" applyBorder="1"/>
    <xf numFmtId="0" fontId="5" fillId="0" borderId="0" xfId="1"/>
    <xf numFmtId="0" fontId="5" fillId="0" borderId="0" xfId="1" applyAlignment="1">
      <alignment horizontal="fill"/>
    </xf>
  </cellXfs>
  <cellStyles count="2">
    <cellStyle name="Explanatory Text" xfId="1" builtinId="53"/>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1029" name="Button 5" hidden="1">
              <a:extLst>
                <a:ext uri="{63B3BB69-23CF-44E3-9099-C40C66FF867C}">
                  <a14:compatExt spid="_x0000_s102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1030" name="Button 6" hidden="1">
              <a:extLst>
                <a:ext uri="{63B3BB69-23CF-44E3-9099-C40C66FF867C}">
                  <a14:compatExt spid="_x0000_s103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4099" name="Button 3" hidden="1">
              <a:extLst>
                <a:ext uri="{63B3BB69-23CF-44E3-9099-C40C66FF867C}">
                  <a14:compatExt spid="_x0000_s409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10241" name="Button 1"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10242" name="Button 2"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6146" name="Button 2" hidden="1">
              <a:extLst>
                <a:ext uri="{63B3BB69-23CF-44E3-9099-C40C66FF867C}">
                  <a14:compatExt spid="_x0000_s61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6147" name="Button 3" hidden="1">
              <a:extLst>
                <a:ext uri="{63B3BB69-23CF-44E3-9099-C40C66FF867C}">
                  <a14:compatExt spid="_x0000_s61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7171" name="Button 3" hidden="1">
              <a:extLst>
                <a:ext uri="{63B3BB69-23CF-44E3-9099-C40C66FF867C}">
                  <a14:compatExt spid="_x0000_s717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5</xdr:row>
          <xdr:rowOff>0</xdr:rowOff>
        </xdr:from>
        <xdr:to>
          <xdr:col>5</xdr:col>
          <xdr:colOff>0</xdr:colOff>
          <xdr:row>6</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Find Projects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6</xdr:row>
          <xdr:rowOff>0</xdr:rowOff>
        </xdr:from>
        <xdr:to>
          <xdr:col>5</xdr:col>
          <xdr:colOff>0</xdr:colOff>
          <xdr:row>7</xdr:row>
          <xdr:rowOff>0</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0</xdr:colOff>
          <xdr:row>7</xdr:row>
          <xdr:rowOff>0</xdr:rowOff>
        </xdr:from>
        <xdr:to>
          <xdr:col>5</xdr:col>
          <xdr:colOff>0</xdr:colOff>
          <xdr:row>8</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Retrieve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omments" Target="../comments1.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omments" Target="../comments3.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4.vml"/><Relationship Id="rId1" Type="http://schemas.openxmlformats.org/officeDocument/2006/relationships/drawing" Target="../drawings/drawing4.xml"/><Relationship Id="rId6" Type="http://schemas.openxmlformats.org/officeDocument/2006/relationships/comments" Target="../comments4.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5.xml"/><Relationship Id="rId6" Type="http://schemas.openxmlformats.org/officeDocument/2006/relationships/comments" Target="../comments5.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comments" Target="../comments6.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7.vml"/><Relationship Id="rId1" Type="http://schemas.openxmlformats.org/officeDocument/2006/relationships/drawing" Target="../drawings/drawing7.xml"/><Relationship Id="rId6" Type="http://schemas.openxmlformats.org/officeDocument/2006/relationships/comments" Target="../comments7.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comments" Target="../comments8.xml"/><Relationship Id="rId5" Type="http://schemas.openxmlformats.org/officeDocument/2006/relationships/ctrlProp" Target="../ctrlProps/ctrlProp24.xml"/><Relationship Id="rId4"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2:E13"/>
  <sheetViews>
    <sheetView tabSelected="1"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16</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2201006</v>
      </c>
    </row>
    <row r="7" spans="2:5" x14ac:dyDescent="0.25">
      <c r="B7" s="20" t="s">
        <v>2</v>
      </c>
      <c r="C7" s="17" t="str">
        <f>VLOOKUP(VLOOKUP($C$3,t.Variables,3,FALSE),t.KeytoDOE2Command,2,FALSE)</f>
        <v>SYSTEM</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9" r:id="rId3" name="Button 5">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1030" r:id="rId4" name="Button 6">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1031" r:id="rId5" name="Button 7">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showInputMessage="1" showErrorMessage="1">
          <x14:formula1>
            <xm:f>INDIRECT("Lookups!B4:B"&amp;4+Lookups!C1-2)</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17</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2201007</v>
      </c>
    </row>
    <row r="7" spans="2:5" x14ac:dyDescent="0.25">
      <c r="B7" s="20" t="s">
        <v>2</v>
      </c>
      <c r="C7" s="17" t="str">
        <f>VLOOKUP(VLOOKUP($C$3,t.Variables,3,FALSE),t.KeytoDOE2Command,2,FALSE)</f>
        <v>SYSTEM</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2050"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2051"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showInputMessage="1" showErrorMessage="1">
          <x14:formula1>
            <xm:f>INDIRECT("Lookups!B4:B"&amp;4+Lookups!C1-2)</xm:f>
          </x14:formula1>
          <xm:sqref>C3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18</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2201008</v>
      </c>
    </row>
    <row r="7" spans="2:5" x14ac:dyDescent="0.25">
      <c r="B7" s="20" t="s">
        <v>2</v>
      </c>
      <c r="C7" s="17" t="str">
        <f>VLOOKUP(VLOOKUP($C$3,t.Variables,3,FALSE),t.KeytoDOE2Command,2,FALSE)</f>
        <v>SYSTEM</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3074"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3075"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19</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2201045</v>
      </c>
    </row>
    <row r="7" spans="2:5" x14ac:dyDescent="0.25">
      <c r="B7" s="20" t="s">
        <v>2</v>
      </c>
      <c r="C7" s="17" t="str">
        <f>VLOOKUP(VLOOKUP($C$3,t.Variables,3,FALSE),t.KeytoDOE2Command,2,FALSE)</f>
        <v>SYSTEM</v>
      </c>
    </row>
    <row r="8" spans="2:5" x14ac:dyDescent="0.25">
      <c r="B8" s="20" t="s">
        <v>6</v>
      </c>
      <c r="C8" s="18" t="str">
        <f>VLOOKUP(VLOOKUP($C$3,t.Variables,4,FALSE),t.KeytoDOE2Command,2,FALSE)</f>
        <v>ZONE</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4098"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4099"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54</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2201053</v>
      </c>
    </row>
    <row r="7" spans="2:5" x14ac:dyDescent="0.25">
      <c r="B7" s="20" t="s">
        <v>2</v>
      </c>
      <c r="C7" s="17" t="str">
        <f>VLOOKUP(VLOOKUP($C$3,t.Variables,3,FALSE),t.KeytoDOE2Command,2,FALSE)</f>
        <v>SYSTEM</v>
      </c>
    </row>
    <row r="8" spans="2:5" x14ac:dyDescent="0.25">
      <c r="B8" s="20" t="s">
        <v>6</v>
      </c>
      <c r="C8" s="18" t="str">
        <f>VLOOKUP(VLOOKUP($C$3,t.Variables,4,FALSE),t.KeytoDOE2Command,2,FALSE)</f>
        <v>ZONE</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10242"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49</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2315003</v>
      </c>
    </row>
    <row r="7" spans="2:5" x14ac:dyDescent="0.25">
      <c r="B7" s="20" t="s">
        <v>2</v>
      </c>
      <c r="C7" s="17" t="str">
        <f>VLOOKUP(VLOOKUP($C$3,t.Variables,3,FALSE),t.KeytoDOE2Command,2,FALSE)</f>
        <v>BOILER</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6146"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6147"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48</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2318003</v>
      </c>
    </row>
    <row r="7" spans="2:5" x14ac:dyDescent="0.25">
      <c r="B7" s="20" t="s">
        <v>2</v>
      </c>
      <c r="C7" s="17" t="str">
        <f>VLOOKUP(VLOOKUP($C$3,t.Variables,3,FALSE),t.KeytoDOE2Command,2,FALSE)</f>
        <v>CHILLER</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7170"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7171"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B2:E13"/>
  <sheetViews>
    <sheetView workbookViewId="0">
      <selection activeCell="B10" sqref="B10"/>
    </sheetView>
  </sheetViews>
  <sheetFormatPr defaultRowHeight="15" x14ac:dyDescent="0.25"/>
  <cols>
    <col min="1" max="1" width="3.7109375" customWidth="1"/>
    <col min="2" max="2" width="25.7109375" style="1" customWidth="1"/>
    <col min="3" max="3" width="42.28515625" style="1" bestFit="1" customWidth="1"/>
    <col min="4" max="4" width="3.7109375" customWidth="1"/>
    <col min="5" max="5" width="30.7109375" customWidth="1"/>
  </cols>
  <sheetData>
    <row r="2" spans="2:5" x14ac:dyDescent="0.25">
      <c r="B2" s="13" t="s">
        <v>9</v>
      </c>
      <c r="C2" s="14"/>
      <c r="E2" s="21" t="s">
        <v>50</v>
      </c>
    </row>
    <row r="3" spans="2:5" x14ac:dyDescent="0.25">
      <c r="B3" s="11" t="s">
        <v>15</v>
      </c>
      <c r="C3" s="12" t="s">
        <v>46</v>
      </c>
      <c r="E3" s="22" t="s">
        <v>51</v>
      </c>
    </row>
    <row r="4" spans="2:5" x14ac:dyDescent="0.25">
      <c r="B4" s="13" t="s">
        <v>8</v>
      </c>
      <c r="C4" s="19"/>
      <c r="E4" s="22" t="s">
        <v>52</v>
      </c>
    </row>
    <row r="5" spans="2:5" x14ac:dyDescent="0.25">
      <c r="B5" s="2" t="s">
        <v>10</v>
      </c>
      <c r="C5" s="15" t="s">
        <v>3</v>
      </c>
      <c r="E5" s="22" t="s">
        <v>53</v>
      </c>
    </row>
    <row r="6" spans="2:5" x14ac:dyDescent="0.25">
      <c r="B6" s="16" t="s">
        <v>11</v>
      </c>
      <c r="C6" s="17">
        <f>VLOOKUP($C$3,t.Variables,2,FALSE)</f>
        <v>2314003</v>
      </c>
    </row>
    <row r="7" spans="2:5" x14ac:dyDescent="0.25">
      <c r="B7" s="20" t="s">
        <v>2</v>
      </c>
      <c r="C7" s="17" t="str">
        <f>VLOOKUP(VLOOKUP($C$3,t.Variables,3,FALSE),t.KeytoDOE2Command,2,FALSE)</f>
        <v>COOLING-TWR</v>
      </c>
    </row>
    <row r="8" spans="2:5" x14ac:dyDescent="0.25">
      <c r="B8" s="20" t="s">
        <v>6</v>
      </c>
      <c r="C8" s="18" t="str">
        <f>VLOOKUP(VLOOKUP($C$3,t.Variables,4,FALSE),t.KeytoDOE2Command,2,FALSE)</f>
        <v>-</v>
      </c>
    </row>
    <row r="9" spans="2:5" x14ac:dyDescent="0.25">
      <c r="B9" s="13" t="s">
        <v>5</v>
      </c>
      <c r="C9" s="14"/>
    </row>
    <row r="10" spans="2:5" x14ac:dyDescent="0.25">
      <c r="C10"/>
    </row>
    <row r="11" spans="2:5" x14ac:dyDescent="0.25">
      <c r="C11"/>
    </row>
    <row r="12" spans="2:5" x14ac:dyDescent="0.25">
      <c r="C12"/>
    </row>
    <row r="13" spans="2:5" x14ac:dyDescent="0.25">
      <c r="C1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FindAllProjects">
                <anchor>
                  <from>
                    <xdr:col>4</xdr:col>
                    <xdr:colOff>0</xdr:colOff>
                    <xdr:row>5</xdr:row>
                    <xdr:rowOff>0</xdr:rowOff>
                  </from>
                  <to>
                    <xdr:col>5</xdr:col>
                    <xdr:colOff>0</xdr:colOff>
                    <xdr:row>6</xdr:row>
                    <xdr:rowOff>0</xdr:rowOff>
                  </to>
                </anchor>
              </controlPr>
            </control>
          </mc:Choice>
        </mc:AlternateContent>
        <mc:AlternateContent xmlns:mc="http://schemas.openxmlformats.org/markup-compatibility/2006">
          <mc:Choice Requires="x14">
            <control shapeId="8194" r:id="rId4" name="Button 2">
              <controlPr defaultSize="0" print="0" autoFill="0" autoPict="0" macro="[0]!ClearAll">
                <anchor>
                  <from>
                    <xdr:col>4</xdr:col>
                    <xdr:colOff>0</xdr:colOff>
                    <xdr:row>6</xdr:row>
                    <xdr:rowOff>0</xdr:rowOff>
                  </from>
                  <to>
                    <xdr:col>5</xdr:col>
                    <xdr:colOff>0</xdr:colOff>
                    <xdr:row>7</xdr:row>
                    <xdr:rowOff>0</xdr:rowOff>
                  </to>
                </anchor>
              </controlPr>
            </control>
          </mc:Choice>
        </mc:AlternateContent>
        <mc:AlternateContent xmlns:mc="http://schemas.openxmlformats.org/markup-compatibility/2006">
          <mc:Choice Requires="x14">
            <control shapeId="8195" r:id="rId5" name="Button 3">
              <controlPr defaultSize="0" print="0" autoFill="0" autoPict="0" macro="[0]!RetrieveData">
                <anchor>
                  <from>
                    <xdr:col>4</xdr:col>
                    <xdr:colOff>0</xdr:colOff>
                    <xdr:row>7</xdr:row>
                    <xdr:rowOff>0</xdr:rowOff>
                  </from>
                  <to>
                    <xdr:col>5</xdr:col>
                    <xdr:colOff>0</xdr:colOff>
                    <xdr:row>8</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INDIRECT("Lookups!B4:B"&amp;4+Lookups!C1-2)</xm:f>
          </x14:formula1>
          <xm:sqref>C3</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1:H28"/>
  <sheetViews>
    <sheetView workbookViewId="0">
      <selection activeCell="C12" sqref="C12"/>
    </sheetView>
  </sheetViews>
  <sheetFormatPr defaultRowHeight="15" x14ac:dyDescent="0.25"/>
  <cols>
    <col min="1" max="1" width="3.7109375" customWidth="1"/>
    <col min="2" max="2" width="47.42578125" bestFit="1" customWidth="1"/>
    <col min="6" max="6" width="3.7109375" customWidth="1"/>
    <col min="7" max="8" width="20.7109375" customWidth="1"/>
  </cols>
  <sheetData>
    <row r="1" spans="2:8" x14ac:dyDescent="0.25">
      <c r="C1" s="9">
        <f>COUNTA(B:B)</f>
        <v>10</v>
      </c>
    </row>
    <row r="2" spans="2:8" x14ac:dyDescent="0.25">
      <c r="C2" s="2" t="s">
        <v>14</v>
      </c>
      <c r="D2" s="3"/>
      <c r="E2" s="4"/>
      <c r="G2" s="8" t="s">
        <v>28</v>
      </c>
      <c r="H2" s="8" t="s">
        <v>29</v>
      </c>
    </row>
    <row r="3" spans="2:8" x14ac:dyDescent="0.25">
      <c r="B3" s="8" t="s">
        <v>13</v>
      </c>
      <c r="C3" s="5" t="s">
        <v>0</v>
      </c>
      <c r="D3" s="6" t="s">
        <v>12</v>
      </c>
      <c r="E3" s="7" t="s">
        <v>1</v>
      </c>
      <c r="G3" s="8">
        <v>2001</v>
      </c>
      <c r="H3" s="8" t="s">
        <v>30</v>
      </c>
    </row>
    <row r="4" spans="2:8" x14ac:dyDescent="0.25">
      <c r="B4" s="8" t="s">
        <v>16</v>
      </c>
      <c r="C4" s="8">
        <v>2201006</v>
      </c>
      <c r="D4" s="8">
        <v>2010</v>
      </c>
      <c r="E4" s="8">
        <v>0</v>
      </c>
      <c r="G4" s="8">
        <v>2005</v>
      </c>
      <c r="H4" s="8" t="s">
        <v>31</v>
      </c>
    </row>
    <row r="5" spans="2:8" x14ac:dyDescent="0.25">
      <c r="B5" s="8" t="s">
        <v>17</v>
      </c>
      <c r="C5" s="8">
        <v>2201007</v>
      </c>
      <c r="D5" s="8">
        <v>2010</v>
      </c>
      <c r="E5" s="8">
        <v>0</v>
      </c>
      <c r="G5" s="8">
        <v>2006</v>
      </c>
      <c r="H5" s="8" t="s">
        <v>32</v>
      </c>
    </row>
    <row r="6" spans="2:8" x14ac:dyDescent="0.25">
      <c r="B6" s="8" t="s">
        <v>18</v>
      </c>
      <c r="C6" s="8">
        <v>2201008</v>
      </c>
      <c r="D6" s="8">
        <v>2010</v>
      </c>
      <c r="E6" s="8">
        <v>0</v>
      </c>
      <c r="G6" s="8">
        <v>2007</v>
      </c>
      <c r="H6" s="8" t="s">
        <v>20</v>
      </c>
    </row>
    <row r="7" spans="2:8" x14ac:dyDescent="0.25">
      <c r="B7" s="8" t="s">
        <v>19</v>
      </c>
      <c r="C7" s="8">
        <v>2201045</v>
      </c>
      <c r="D7" s="8">
        <v>2010</v>
      </c>
      <c r="E7" s="8">
        <v>2019</v>
      </c>
      <c r="G7" s="8">
        <v>2010</v>
      </c>
      <c r="H7" s="8" t="s">
        <v>4</v>
      </c>
    </row>
    <row r="8" spans="2:8" x14ac:dyDescent="0.25">
      <c r="B8" s="10" t="s">
        <v>49</v>
      </c>
      <c r="C8" s="8">
        <v>2315003</v>
      </c>
      <c r="D8" s="8">
        <v>2064</v>
      </c>
      <c r="E8" s="10">
        <v>0</v>
      </c>
      <c r="G8" s="8">
        <v>2019</v>
      </c>
      <c r="H8" s="8" t="s">
        <v>21</v>
      </c>
    </row>
    <row r="9" spans="2:8" x14ac:dyDescent="0.25">
      <c r="B9" s="10" t="s">
        <v>48</v>
      </c>
      <c r="C9" s="8">
        <v>2318003</v>
      </c>
      <c r="D9" s="8">
        <v>2063</v>
      </c>
      <c r="E9" s="10">
        <v>0</v>
      </c>
      <c r="G9" s="8">
        <v>2020</v>
      </c>
      <c r="H9" s="8" t="s">
        <v>33</v>
      </c>
    </row>
    <row r="10" spans="2:8" x14ac:dyDescent="0.25">
      <c r="B10" s="10" t="s">
        <v>47</v>
      </c>
      <c r="C10" s="8">
        <v>2321003</v>
      </c>
      <c r="D10" s="8">
        <v>2065</v>
      </c>
      <c r="E10" s="10">
        <v>0</v>
      </c>
      <c r="G10" s="8">
        <v>2040</v>
      </c>
      <c r="H10" s="8" t="s">
        <v>34</v>
      </c>
    </row>
    <row r="11" spans="2:8" x14ac:dyDescent="0.25">
      <c r="B11" s="10" t="s">
        <v>46</v>
      </c>
      <c r="C11" s="8">
        <v>2314003</v>
      </c>
      <c r="D11" s="8">
        <v>2066</v>
      </c>
      <c r="E11" s="10">
        <v>0</v>
      </c>
      <c r="G11" s="8">
        <v>2046</v>
      </c>
      <c r="H11" s="8" t="s">
        <v>35</v>
      </c>
    </row>
    <row r="12" spans="2:8" x14ac:dyDescent="0.25">
      <c r="B12" s="10" t="s">
        <v>54</v>
      </c>
      <c r="C12" s="8">
        <v>2201053</v>
      </c>
      <c r="D12" s="8">
        <v>2010</v>
      </c>
      <c r="E12" s="8">
        <v>2019</v>
      </c>
      <c r="G12" s="8">
        <v>2050</v>
      </c>
      <c r="H12" s="8" t="s">
        <v>22</v>
      </c>
    </row>
    <row r="13" spans="2:8" x14ac:dyDescent="0.25">
      <c r="G13" s="8">
        <v>2055</v>
      </c>
      <c r="H13" s="8" t="s">
        <v>23</v>
      </c>
    </row>
    <row r="14" spans="2:8" x14ac:dyDescent="0.25">
      <c r="G14" s="8">
        <v>2061</v>
      </c>
      <c r="H14" s="8" t="s">
        <v>24</v>
      </c>
    </row>
    <row r="15" spans="2:8" x14ac:dyDescent="0.25">
      <c r="G15" s="8">
        <v>2062</v>
      </c>
      <c r="H15" s="8" t="s">
        <v>36</v>
      </c>
    </row>
    <row r="16" spans="2:8" x14ac:dyDescent="0.25">
      <c r="G16" s="8">
        <v>2063</v>
      </c>
      <c r="H16" s="8" t="s">
        <v>25</v>
      </c>
    </row>
    <row r="17" spans="7:8" x14ac:dyDescent="0.25">
      <c r="G17" s="8">
        <v>2064</v>
      </c>
      <c r="H17" s="8" t="s">
        <v>26</v>
      </c>
    </row>
    <row r="18" spans="7:8" x14ac:dyDescent="0.25">
      <c r="G18" s="8">
        <v>2065</v>
      </c>
      <c r="H18" s="8" t="s">
        <v>37</v>
      </c>
    </row>
    <row r="19" spans="7:8" x14ac:dyDescent="0.25">
      <c r="G19" s="8">
        <v>2066</v>
      </c>
      <c r="H19" s="8" t="s">
        <v>45</v>
      </c>
    </row>
    <row r="20" spans="7:8" x14ac:dyDescent="0.25">
      <c r="G20" s="8">
        <v>2068</v>
      </c>
      <c r="H20" s="8" t="s">
        <v>38</v>
      </c>
    </row>
    <row r="21" spans="7:8" x14ac:dyDescent="0.25">
      <c r="G21" s="8">
        <v>2069</v>
      </c>
      <c r="H21" s="8" t="s">
        <v>39</v>
      </c>
    </row>
    <row r="22" spans="7:8" x14ac:dyDescent="0.25">
      <c r="G22" s="8">
        <v>2070</v>
      </c>
      <c r="H22" s="8" t="s">
        <v>27</v>
      </c>
    </row>
    <row r="23" spans="7:8" x14ac:dyDescent="0.25">
      <c r="G23" s="8">
        <v>2085</v>
      </c>
      <c r="H23" s="8" t="s">
        <v>40</v>
      </c>
    </row>
    <row r="24" spans="7:8" x14ac:dyDescent="0.25">
      <c r="G24" s="8">
        <v>2086</v>
      </c>
      <c r="H24" s="8" t="s">
        <v>41</v>
      </c>
    </row>
    <row r="25" spans="7:8" x14ac:dyDescent="0.25">
      <c r="G25" s="8">
        <v>2087</v>
      </c>
      <c r="H25" s="8" t="s">
        <v>42</v>
      </c>
    </row>
    <row r="26" spans="7:8" x14ac:dyDescent="0.25">
      <c r="G26" s="8">
        <v>2088</v>
      </c>
      <c r="H26" s="8" t="s">
        <v>43</v>
      </c>
    </row>
    <row r="27" spans="7:8" x14ac:dyDescent="0.25">
      <c r="G27" s="8">
        <v>2091</v>
      </c>
      <c r="H27" s="8" t="s">
        <v>44</v>
      </c>
    </row>
    <row r="28" spans="7:8" x14ac:dyDescent="0.25">
      <c r="G28" s="10">
        <v>0</v>
      </c>
      <c r="H28" s="10" t="s">
        <v>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NHRDataSysClgCap</vt:lpstr>
      <vt:lpstr>NHRDataSysSHRCap</vt:lpstr>
      <vt:lpstr>NHRDataSysHtgCap</vt:lpstr>
      <vt:lpstr>NHRDataZoneFlow</vt:lpstr>
      <vt:lpstr>NHRDataZoneHtgCap</vt:lpstr>
      <vt:lpstr>NHRDataBoilerCap</vt:lpstr>
      <vt:lpstr>NHRDataChillerCap</vt:lpstr>
      <vt:lpstr>NHRDataCoolingTowerCap</vt:lpstr>
      <vt:lpstr>Lookups</vt:lpstr>
      <vt:lpstr>t.KeytoDOE2Command</vt:lpstr>
      <vt:lpstr>t.Variables</vt:lpstr>
    </vt:vector>
  </TitlesOfParts>
  <Company>Madison Engineering PS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Jeremy L.</dc:creator>
  <cp:lastModifiedBy>Jeremy L.</cp:lastModifiedBy>
  <dcterms:created xsi:type="dcterms:W3CDTF">2016-04-25T18:22:56Z</dcterms:created>
  <dcterms:modified xsi:type="dcterms:W3CDTF">2016-05-09T17:38:32Z</dcterms:modified>
</cp:coreProperties>
</file>